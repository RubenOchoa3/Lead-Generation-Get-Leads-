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rovements" sheetId="1" state="visible" r:id="rId3"/>
    <sheet name="End-to-End Test" sheetId="2" state="visible" r:id="rId4"/>
    <sheet name="Needs Attention" sheetId="3" state="visible" r:id="rId5"/>
    <sheet name="Next Ste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<sst xmlns="http://schemas.openxmlformats.org/spreadsheetml/2006/main" count="140" uniqueCount="111">
  <si>
    <t xml:space="preserve">R&amp;S Lead OS — Six Improvements</t>
  </si>
  <si>
    <t xml:space="preserve">From Claude's update on the live dashboard · Oct 1, 2026 · Tested on a copy of real data; not yet clicked through on the live version.</t>
  </si>
  <si>
    <t xml:space="preserve">#</t>
  </si>
  <si>
    <t xml:space="preserve">Improvement</t>
  </si>
  <si>
    <t xml:space="preserve">What's included</t>
  </si>
  <si>
    <t xml:space="preserve">Status</t>
  </si>
  <si>
    <t xml:space="preserve">Notes</t>
  </si>
  <si>
    <t xml:space="preserve">Lead detail drawer</t>
  </si>
  <si>
    <t xml:space="preserve">Opens from Leads and Approval Queue with list visible behind. Shows company (incl. city/county), primary contact, score + breakdown, Claude research, activity Found→Closed. Buttons: Approve, Reject, Research with Claude, Suppress, Add to Campaign, Open Website, Open LinkedIn.</t>
  </si>
  <si>
    <t xml:space="preserve">Done</t>
  </si>
  <si>
    <t xml:space="preserve">Add to Campaign greyed out until a sender is connected.</t>
  </si>
  <si>
    <t xml:space="preserve">Research with Claude</t>
  </si>
  <si>
    <t xml:space="preserve">Button in Approval Queue and drawer; researches only the clicked company; saves business summary, likely cleaning need, personalization note, outreach angle, confidence. Drawer and queue update immediately.</t>
  </si>
  <si>
    <t xml:space="preserve">Uses only facts already on file (no web browsing); confidence capped at 60%. Ask Claude in chat for website-checked research. First click asks permission; uses your Claude allowance.</t>
  </si>
  <si>
    <t xml:space="preserve">Actionable DNS / domain / mailbox states</t>
  </si>
  <si>
    <t xml:space="preserve">'What needs fixing' section on Mailboxes &amp; Domains: what's wrong, what happens next, a button for each. External actions open InboxKit and are labelled as such.</t>
  </si>
  <si>
    <t xml:space="preserve">6 pending domains have no mailboxes, so InboxKit hasn't published their records. Adding mailboxes is a purchase. No invented provider controls.</t>
  </si>
  <si>
    <t xml:space="preserve">Needs Your Attention panel</t>
  </si>
  <si>
    <t xml:space="preserve">Panel at top of Dashboard, blockers first, real data only, one action button per item.</t>
  </si>
  <si>
    <t xml:space="preserve">Current items listed on the 'Needs Attention' tab.</t>
  </si>
  <si>
    <t xml:space="preserve">Protect the main R&amp;S domain</t>
  </si>
  <si>
    <t xml:space="preserve">'Primary Business Domain — Protected' badge; 'Scheduled for removal from InboxKit only' / 'Domain registration: Not affected unless independently confirmed'; excluded from mailbox rotation and campaign assignment; Suppress asks for confirmation.</t>
  </si>
  <si>
    <t xml:space="preserve">The dashboard has no buttons that delete or change domains/mailboxes, so nothing else needed a confirmation.</t>
  </si>
  <si>
    <t xml:space="preserve">End-to-end test tracker</t>
  </si>
  <si>
    <t xml:space="preserve">Dashboard panel marking each step done / blocked / to do / not yet possible and naming the current blocker.</t>
  </si>
  <si>
    <t xml:space="preserve">The loop itself is not complete — see 'End-to-End Test' tab.</t>
  </si>
  <si>
    <t xml:space="preserve">Total</t>
  </si>
  <si>
    <t xml:space="preserve">End-to-End Test Status</t>
  </si>
  <si>
    <t xml:space="preserve">Status values: Done · Blocked · To do · Not yet possible. Edit column C to update; the summary recalculates.</t>
  </si>
  <si>
    <t xml:space="preserve">Step</t>
  </si>
  <si>
    <t xml:space="preserve">Stage</t>
  </si>
  <si>
    <t xml:space="preserve">Detail</t>
  </si>
  <si>
    <t xml:space="preserve">Lead found</t>
  </si>
  <si>
    <t xml:space="preserve">63 companies from Getlead</t>
  </si>
  <si>
    <t xml:space="preserve">Saved to Railway PostgreSQL</t>
  </si>
  <si>
    <t xml:space="preserve">Blocked</t>
  </si>
  <si>
    <t xml:space="preserve">Web app not deployed; data is in the dashboard's own database for now</t>
  </si>
  <si>
    <t xml:space="preserve">Deduplicated</t>
  </si>
  <si>
    <t xml:space="preserve">Duplicates merged by domain / company</t>
  </si>
  <si>
    <t xml:space="preserve">Scored</t>
  </si>
  <si>
    <t xml:space="preserve">100-point score on every lead</t>
  </si>
  <si>
    <t xml:space="preserve">Claude researched</t>
  </si>
  <si>
    <t xml:space="preserve">To do</t>
  </si>
  <si>
    <t xml:space="preserve">Click Research with Claude on any lead</t>
  </si>
  <si>
    <t xml:space="preserve">Approved</t>
  </si>
  <si>
    <t xml:space="preserve">Approve any lead in the queue</t>
  </si>
  <si>
    <t xml:space="preserve">Sender connected</t>
  </si>
  <si>
    <t xml:space="preserve">No sending tool linked</t>
  </si>
  <si>
    <t xml:space="preserve">Email sent</t>
  </si>
  <si>
    <t xml:space="preserve">Not yet possible</t>
  </si>
  <si>
    <t xml:space="preserve">Needs a sender and your launch approval</t>
  </si>
  <si>
    <t xml:space="preserve">Reply synced</t>
  </si>
  <si>
    <t xml:space="preserve">Needs sent email</t>
  </si>
  <si>
    <t xml:space="preserve">Dashboard updated</t>
  </si>
  <si>
    <t xml:space="preserve">After replies sync</t>
  </si>
  <si>
    <t xml:space="preserve">% complete</t>
  </si>
  <si>
    <t xml:space="preserve">First blocker</t>
  </si>
  <si>
    <t xml:space="preserve">Needs Your Attention</t>
  </si>
  <si>
    <t xml:space="preserve">Real, unresolved items as shown on the Dashboard, blockers first.</t>
  </si>
  <si>
    <t xml:space="preserve">Priority</t>
  </si>
  <si>
    <t xml:space="preserve">Severity</t>
  </si>
  <si>
    <t xml:space="preserve">Item</t>
  </si>
  <si>
    <t xml:space="preserve">Action button</t>
  </si>
  <si>
    <t xml:space="preserve">External action?</t>
  </si>
  <si>
    <t xml:space="preserve">Blocker</t>
  </si>
  <si>
    <t xml:space="preserve">Sender not connected</t>
  </si>
  <si>
    <t xml:space="preserve">Approved leads can't be emailed; no sending tool is linked to InboxKit mailboxes, and Getlead can't send email.</t>
  </si>
  <si>
    <t xml:space="preserve">Connect Sender</t>
  </si>
  <si>
    <t xml:space="preserve">No</t>
  </si>
  <si>
    <t xml:space="preserve">Confirm the primary domain change in InboxKit</t>
  </si>
  <si>
    <t xml:space="preserve">rscentralvalleycleaning.com is scheduled for removal from InboxKit only. The domain itself is not deleted — confirm it was intended.</t>
  </si>
  <si>
    <t xml:space="preserve">Review Domain</t>
  </si>
  <si>
    <t xml:space="preserve">Yes — InboxKit → Domains</t>
  </si>
  <si>
    <t xml:space="preserve">Railway deployment incomplete</t>
  </si>
  <si>
    <t xml:space="preserve">PostgreSQL is provisioned; the web app is not deployed.</t>
  </si>
  <si>
    <t xml:space="preserve">Finish Railway Setup</t>
  </si>
  <si>
    <t xml:space="preserve">Yes — Railway</t>
  </si>
  <si>
    <t xml:space="preserve">Warning</t>
  </si>
  <si>
    <t xml:space="preserve">18 mailboxes not warming</t>
  </si>
  <si>
    <t xml:space="preserve">New Google mailboxes need about 2–3 weeks of warmup before cold volume.</t>
  </si>
  <si>
    <t xml:space="preserve">View Mailboxes</t>
  </si>
  <si>
    <t xml:space="preserve">Yes — InboxKit or sender</t>
  </si>
  <si>
    <t xml:space="preserve">Info</t>
  </si>
  <si>
    <t xml:space="preserve">6 domains with pending DNS</t>
  </si>
  <si>
    <t xml:space="preserve">No mailboxes on these yet, so InboxKit hasn't published their email records.</t>
  </si>
  <si>
    <t xml:space="preserve">Fix DNS</t>
  </si>
  <si>
    <t xml:space="preserve">Yes — InboxKit (paid to add mailboxes)</t>
  </si>
  <si>
    <t xml:space="preserve">16 leads waiting for approval</t>
  </si>
  <si>
    <t xml:space="preserve">Qualified leads with a verified decision maker.</t>
  </si>
  <si>
    <t xml:space="preserve">Review Leads</t>
  </si>
  <si>
    <t xml:space="preserve">Next Steps</t>
  </si>
  <si>
    <t xml:space="preserve">Things only you can unblock.</t>
  </si>
  <si>
    <t xml:space="preserve">What's needed</t>
  </si>
  <si>
    <t xml:space="preserve">Where</t>
  </si>
  <si>
    <t xml:space="preserve">Owner</t>
  </si>
  <si>
    <t xml:space="preserve">Railway deployment</t>
  </si>
  <si>
    <t xml:space="preserve">Create a token in Railway under rs-lead-gen-os → Settings → Tokens and paste it to Claude.</t>
  </si>
  <si>
    <t xml:space="preserve">Railway</t>
  </si>
  <si>
    <t xml:space="preserve">You</t>
  </si>
  <si>
    <t xml:space="preserve">Claude deploys the app and copies the dashboard's data into PostgreSQL.</t>
  </si>
  <si>
    <t xml:space="preserve">Email sender</t>
  </si>
  <si>
    <t xml:space="preserve">Tell Claude which sending tool you want to allow. Your rules exclude Instantly and Smartlead; Getlead and InboxKit can't send email themselves.</t>
  </si>
  <si>
    <t xml:space="preserve">Your decision</t>
  </si>
  <si>
    <t xml:space="preserve">Tracker stays blocked at 'Sender connected' until then.</t>
  </si>
  <si>
    <t xml:space="preserve">Primary domain in InboxKit</t>
  </si>
  <si>
    <t xml:space="preserve">Confirm the removal from InboxKit was intended.</t>
  </si>
  <si>
    <t xml:space="preserve">InboxKit → Domains</t>
  </si>
  <si>
    <t xml:space="preserve">First research + approval</t>
  </si>
  <si>
    <t xml:space="preserve">Click Research with Claude and Approve on a lead to move two tracker steps to Done.</t>
  </si>
  <si>
    <t xml:space="preserve">Dashboard</t>
  </si>
  <si>
    <t xml:space="preserve">First research click asks permission.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</si>
</sst>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F62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A3261C"/>
      <name val="Arial"/>
      <family val="0"/>
      <charset val="1"/>
    </font>
    <font>
      <b val="true"/>
      <sz val="11"/>
      <color rgb="FF8F5500"/>
      <name val="Arial"/>
      <family val="0"/>
      <charset val="1"/>
    </font>
    <font>
      <b val="true"/>
      <sz val="11"/>
      <color rgb="FF1D4F9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0E1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B6B52"/>
      </font>
      <fill>
        <patternFill>
          <bgColor rgb="FFE4F1EB"/>
        </patternFill>
      </fill>
    </dxf>
    <dxf>
      <font>
        <name val="Arial"/>
        <charset val="1"/>
        <family val="0"/>
        <b val="1"/>
        <color rgb="FFA3261C"/>
      </font>
      <fill>
        <patternFill>
          <bgColor rgb="FFFBE8E5"/>
        </patternFill>
      </fill>
    </dxf>
    <dxf>
      <font>
        <name val="Arial"/>
        <charset val="1"/>
        <family val="0"/>
        <b val="1"/>
        <color rgb="FF8F5500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8A8C91"/>
      </font>
      <fill>
        <patternFill>
          <bgColor rgb="FFF2F2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5500"/>
      <rgbColor rgb="FF800080"/>
      <rgbColor rgb="FF1B6B52"/>
      <rgbColor rgb="FFC0C0C0"/>
      <rgbColor rgb="FF808080"/>
      <rgbColor rgb="FF9999FF"/>
      <rgbColor rgb="FF993366"/>
      <rgbColor rgb="FFFBF0DC"/>
      <rgbColor rgb="FFE4F1EB"/>
      <rgbColor rgb="FF660066"/>
      <rgbColor rgb="FFFF8080"/>
      <rgbColor rgb="FF0066CC"/>
      <rgbColor rgb="FFD9D9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EF"/>
      <rgbColor rgb="FFCCFFCC"/>
      <rgbColor rgb="FFFBE8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268"/>
      <rgbColor rgb="FF8A8C91"/>
      <rgbColor rgb="FF003366"/>
      <rgbColor rgb="FF339966"/>
      <rgbColor rgb="FF0D0E10"/>
      <rgbColor rgb="FF333300"/>
      <rgbColor rgb="FFA3261C"/>
      <rgbColor rgb="FF993366"/>
      <rgbColor rgb="FF1D4F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6.25" hidden="false" customHeight="false" outlineLevel="0" collapsed="false">
      <c r="A5" s="4" t="n">
        <v>5</v>
      </c>
      <c r="B5" s="4" t="s">
        <v>7</v>
      </c>
      <c r="C5" s="4" t="s">
        <v>8</v>
      </c>
      <c r="D5" s="4" t="s">
        <v>9</v>
      </c>
      <c r="E5" s="4" t="s">
        <v>10</v>
      </c>
    </row>
    <row r="6" customFormat="false" ht="35.05" hidden="false" customHeight="false" outlineLevel="0" collapsed="false">
      <c r="A6" s="4" t="n">
        <v>6</v>
      </c>
      <c r="B6" s="4" t="s">
        <v>11</v>
      </c>
      <c r="C6" s="4" t="s">
        <v>12</v>
      </c>
      <c r="D6" s="4" t="s">
        <v>9</v>
      </c>
      <c r="E6" s="4" t="s">
        <v>13</v>
      </c>
    </row>
    <row r="7" customFormat="false" ht="23.85" hidden="false" customHeight="false" outlineLevel="0" collapsed="false">
      <c r="A7" s="4" t="n">
        <v>7</v>
      </c>
      <c r="B7" s="4" t="s">
        <v>14</v>
      </c>
      <c r="C7" s="4" t="s">
        <v>15</v>
      </c>
      <c r="D7" s="4" t="s">
        <v>9</v>
      </c>
      <c r="E7" s="4" t="s">
        <v>16</v>
      </c>
    </row>
    <row r="8" customFormat="false" ht="15" hidden="false" customHeight="false" outlineLevel="0" collapsed="false">
      <c r="A8" s="4" t="n">
        <v>8</v>
      </c>
      <c r="B8" s="4" t="s">
        <v>17</v>
      </c>
      <c r="C8" s="4" t="s">
        <v>18</v>
      </c>
      <c r="D8" s="4" t="s">
        <v>9</v>
      </c>
      <c r="E8" s="4" t="s">
        <v>19</v>
      </c>
    </row>
    <row r="9" customFormat="false" ht="35.05" hidden="false" customHeight="false" outlineLevel="0" collapsed="false">
      <c r="A9" s="4" t="n">
        <v>9</v>
      </c>
      <c r="B9" s="4" t="s">
        <v>20</v>
      </c>
      <c r="C9" s="4" t="s">
        <v>21</v>
      </c>
      <c r="D9" s="4" t="s">
        <v>9</v>
      </c>
      <c r="E9" s="4" t="s">
        <v>22</v>
      </c>
    </row>
    <row r="10" customFormat="false" ht="23.85" hidden="false" customHeight="false" outlineLevel="0" collapsed="false">
      <c r="A10" s="4" t="n">
        <v>10</v>
      </c>
      <c r="B10" s="4" t="s">
        <v>23</v>
      </c>
      <c r="C10" s="4" t="s">
        <v>24</v>
      </c>
      <c r="D10" s="4" t="s">
        <v>9</v>
      </c>
      <c r="E10" s="4" t="s">
        <v>25</v>
      </c>
    </row>
    <row r="12" customFormat="false" ht="15" hidden="false" customHeight="false" outlineLevel="0" collapsed="false">
      <c r="B12" s="5" t="s">
        <v>9</v>
      </c>
      <c r="C12" s="6" t="n">
        <f aca="false">COUNTIF(D5:D10,"Done")</f>
        <v>6</v>
      </c>
    </row>
    <row r="13" customFormat="false" ht="15" hidden="false" customHeight="false" outlineLevel="0" collapsed="false">
      <c r="B13" s="5" t="s">
        <v>26</v>
      </c>
      <c r="C13" s="6" t="n">
        <f aca="false">COUNTA(D5:D10)</f>
        <v>6</v>
      </c>
    </row>
  </sheetData>
  <conditionalFormatting sqref="D5:D1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"To do"</formula>
    </cfRule>
    <cfRule type="cellIs" priority="5" operator="equal" aboveAverage="0" equalAverage="0" bottom="0" percent="0" rank="0" text="" dxfId="2">
      <formula>"Partly done"</formula>
    </cfRule>
    <cfRule type="cellIs" priority="6" operator="equal" aboveAverage="0" equalAverage="0" bottom="0" percent="0" rank="0" text="" dxfId="3">
      <formula>"Not yet possible"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5</v>
      </c>
      <c r="D4" s="3" t="s">
        <v>31</v>
      </c>
    </row>
    <row r="5" customFormat="false" ht="15" hidden="false" customHeight="false" outlineLevel="0" collapsed="false">
      <c r="A5" s="4" t="n">
        <v>1</v>
      </c>
      <c r="B5" s="4" t="s">
        <v>32</v>
      </c>
      <c r="C5" s="4" t="s">
        <v>9</v>
      </c>
      <c r="D5" s="4" t="s">
        <v>33</v>
      </c>
    </row>
    <row r="6" customFormat="false" ht="15" hidden="false" customHeight="false" outlineLevel="0" collapsed="false">
      <c r="A6" s="4" t="n">
        <v>2</v>
      </c>
      <c r="B6" s="4" t="s">
        <v>34</v>
      </c>
      <c r="C6" s="4" t="s">
        <v>35</v>
      </c>
      <c r="D6" s="4" t="s">
        <v>36</v>
      </c>
    </row>
    <row r="7" customFormat="false" ht="15" hidden="false" customHeight="false" outlineLevel="0" collapsed="false">
      <c r="A7" s="4" t="n">
        <v>3</v>
      </c>
      <c r="B7" s="4" t="s">
        <v>37</v>
      </c>
      <c r="C7" s="4" t="s">
        <v>9</v>
      </c>
      <c r="D7" s="4" t="s">
        <v>38</v>
      </c>
    </row>
    <row r="8" customFormat="false" ht="15" hidden="false" customHeight="false" outlineLevel="0" collapsed="false">
      <c r="A8" s="4" t="n">
        <v>4</v>
      </c>
      <c r="B8" s="4" t="s">
        <v>39</v>
      </c>
      <c r="C8" s="4" t="s">
        <v>9</v>
      </c>
      <c r="D8" s="4" t="s">
        <v>40</v>
      </c>
    </row>
    <row r="9" customFormat="false" ht="15" hidden="false" customHeight="false" outlineLevel="0" collapsed="false">
      <c r="A9" s="4" t="n">
        <v>5</v>
      </c>
      <c r="B9" s="4" t="s">
        <v>41</v>
      </c>
      <c r="C9" s="4" t="s">
        <v>42</v>
      </c>
      <c r="D9" s="4" t="s">
        <v>43</v>
      </c>
    </row>
    <row r="10" customFormat="false" ht="15" hidden="false" customHeight="false" outlineLevel="0" collapsed="false">
      <c r="A10" s="4" t="n">
        <v>6</v>
      </c>
      <c r="B10" s="4" t="s">
        <v>44</v>
      </c>
      <c r="C10" s="4" t="s">
        <v>42</v>
      </c>
      <c r="D10" s="4" t="s">
        <v>45</v>
      </c>
    </row>
    <row r="11" customFormat="false" ht="15" hidden="false" customHeight="false" outlineLevel="0" collapsed="false">
      <c r="A11" s="4" t="n">
        <v>7</v>
      </c>
      <c r="B11" s="4" t="s">
        <v>46</v>
      </c>
      <c r="C11" s="4" t="s">
        <v>35</v>
      </c>
      <c r="D11" s="4" t="s">
        <v>47</v>
      </c>
    </row>
    <row r="12" customFormat="false" ht="15" hidden="false" customHeight="false" outlineLevel="0" collapsed="false">
      <c r="A12" s="4" t="n">
        <v>8</v>
      </c>
      <c r="B12" s="4" t="s">
        <v>48</v>
      </c>
      <c r="C12" s="4" t="s">
        <v>49</v>
      </c>
      <c r="D12" s="4" t="s">
        <v>50</v>
      </c>
    </row>
    <row r="13" customFormat="false" ht="15" hidden="false" customHeight="false" outlineLevel="0" collapsed="false">
      <c r="A13" s="4" t="n">
        <v>9</v>
      </c>
      <c r="B13" s="4" t="s">
        <v>51</v>
      </c>
      <c r="C13" s="4" t="s">
        <v>49</v>
      </c>
      <c r="D13" s="4" t="s">
        <v>52</v>
      </c>
    </row>
    <row r="14" customFormat="false" ht="15" hidden="false" customHeight="false" outlineLevel="0" collapsed="false">
      <c r="A14" s="4" t="n">
        <v>10</v>
      </c>
      <c r="B14" s="4" t="s">
        <v>53</v>
      </c>
      <c r="C14" s="4" t="s">
        <v>49</v>
      </c>
      <c r="D14" s="4" t="s">
        <v>54</v>
      </c>
    </row>
    <row r="16" customFormat="false" ht="15" hidden="false" customHeight="false" outlineLevel="0" collapsed="false">
      <c r="B16" s="5" t="s">
        <v>9</v>
      </c>
      <c r="C16" s="6" t="n">
        <f aca="false">COUNTIF(C5:C14,"Done")</f>
        <v>3</v>
      </c>
    </row>
    <row r="17" customFormat="false" ht="15" hidden="false" customHeight="false" outlineLevel="0" collapsed="false">
      <c r="B17" s="5" t="s">
        <v>35</v>
      </c>
      <c r="C17" s="6" t="n">
        <f aca="false">COUNTIF(C5:C14,"Blocked")</f>
        <v>2</v>
      </c>
    </row>
    <row r="18" customFormat="false" ht="15" hidden="false" customHeight="false" outlineLevel="0" collapsed="false">
      <c r="B18" s="5" t="s">
        <v>42</v>
      </c>
      <c r="C18" s="6" t="n">
        <f aca="false">COUNTIF(C5:C14,"To do")</f>
        <v>2</v>
      </c>
    </row>
    <row r="19" customFormat="false" ht="15" hidden="false" customHeight="false" outlineLevel="0" collapsed="false">
      <c r="B19" s="5" t="s">
        <v>49</v>
      </c>
      <c r="C19" s="6" t="n">
        <f aca="false">COUNTIF(C5:C14,"Not yet possible")</f>
        <v>3</v>
      </c>
    </row>
    <row r="20" customFormat="false" ht="15" hidden="false" customHeight="false" outlineLevel="0" collapsed="false">
      <c r="B20" s="5" t="s">
        <v>55</v>
      </c>
      <c r="C20" s="7" t="n">
        <f aca="false">IFERROR(C16/COUNTA(C5:C14),0)</f>
        <v>0.3</v>
      </c>
    </row>
    <row r="21" customFormat="false" ht="15" hidden="false" customHeight="false" outlineLevel="0" collapsed="false">
      <c r="B21" s="5" t="s">
        <v>56</v>
      </c>
      <c r="C21" s="6" t="str">
        <f aca="false">IFERROR(INDEX(B5:B14,MATCH("Blocked",C5:C14,0)),"None")</f>
        <v>Saved to Railway PostgreSQL</v>
      </c>
    </row>
  </sheetData>
  <conditionalFormatting sqref="C5:C1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"To do"</formula>
    </cfRule>
    <cfRule type="cellIs" priority="5" operator="equal" aboveAverage="0" equalAverage="0" bottom="0" percent="0" rank="0" text="" dxfId="2">
      <formula>"Partly done"</formula>
    </cfRule>
    <cfRule type="cellIs" priority="6" operator="equal" aboveAverage="0" equalAverage="0" bottom="0" percent="0" rank="0" text="" dxfId="3">
      <formula>"Not yet possible"</formula>
    </cfRule>
  </conditionalFormatting>
  <dataValidations count="1">
    <dataValidation allowBlank="false" errorStyle="stop" operator="between" showDropDown="false" showErrorMessage="false" showInputMessage="false" sqref="C5:C14" type="list">
      <formula1>"Done,Blocked,To do,Not yet possible"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3" t="s">
        <v>59</v>
      </c>
      <c r="B4" s="3" t="s">
        <v>60</v>
      </c>
      <c r="C4" s="3" t="s">
        <v>61</v>
      </c>
      <c r="D4" s="3" t="s">
        <v>31</v>
      </c>
      <c r="E4" s="3" t="s">
        <v>62</v>
      </c>
      <c r="F4" s="3" t="s">
        <v>63</v>
      </c>
    </row>
    <row r="5" customFormat="false" ht="23.85" hidden="false" customHeight="false" outlineLevel="0" collapsed="false">
      <c r="A5" s="4" t="n">
        <v>1</v>
      </c>
      <c r="B5" s="8" t="s">
        <v>64</v>
      </c>
      <c r="C5" s="4" t="s">
        <v>65</v>
      </c>
      <c r="D5" s="4" t="s">
        <v>66</v>
      </c>
      <c r="E5" s="4" t="s">
        <v>67</v>
      </c>
      <c r="F5" s="4" t="s">
        <v>68</v>
      </c>
    </row>
    <row r="6" customFormat="false" ht="23.85" hidden="false" customHeight="false" outlineLevel="0" collapsed="false">
      <c r="A6" s="4" t="n">
        <v>2</v>
      </c>
      <c r="B6" s="8" t="s">
        <v>64</v>
      </c>
      <c r="C6" s="4" t="s">
        <v>69</v>
      </c>
      <c r="D6" s="4" t="s">
        <v>70</v>
      </c>
      <c r="E6" s="4" t="s">
        <v>71</v>
      </c>
      <c r="F6" s="4" t="s">
        <v>72</v>
      </c>
    </row>
    <row r="7" customFormat="false" ht="15" hidden="false" customHeight="false" outlineLevel="0" collapsed="false">
      <c r="A7" s="4" t="n">
        <v>3</v>
      </c>
      <c r="B7" s="8" t="s">
        <v>64</v>
      </c>
      <c r="C7" s="4" t="s">
        <v>73</v>
      </c>
      <c r="D7" s="4" t="s">
        <v>74</v>
      </c>
      <c r="E7" s="4" t="s">
        <v>75</v>
      </c>
      <c r="F7" s="4" t="s">
        <v>76</v>
      </c>
    </row>
    <row r="8" customFormat="false" ht="15" hidden="false" customHeight="false" outlineLevel="0" collapsed="false">
      <c r="A8" s="4" t="n">
        <v>4</v>
      </c>
      <c r="B8" s="9" t="s">
        <v>77</v>
      </c>
      <c r="C8" s="4" t="s">
        <v>78</v>
      </c>
      <c r="D8" s="4" t="s">
        <v>79</v>
      </c>
      <c r="E8" s="4" t="s">
        <v>80</v>
      </c>
      <c r="F8" s="4" t="s">
        <v>81</v>
      </c>
    </row>
    <row r="9" customFormat="false" ht="23.85" hidden="false" customHeight="false" outlineLevel="0" collapsed="false">
      <c r="A9" s="4" t="n">
        <v>5</v>
      </c>
      <c r="B9" s="10" t="s">
        <v>82</v>
      </c>
      <c r="C9" s="4" t="s">
        <v>83</v>
      </c>
      <c r="D9" s="4" t="s">
        <v>84</v>
      </c>
      <c r="E9" s="4" t="s">
        <v>85</v>
      </c>
      <c r="F9" s="4" t="s">
        <v>86</v>
      </c>
    </row>
    <row r="10" customFormat="false" ht="15" hidden="false" customHeight="false" outlineLevel="0" collapsed="false">
      <c r="A10" s="4" t="n">
        <v>6</v>
      </c>
      <c r="B10" s="9" t="s">
        <v>77</v>
      </c>
      <c r="C10" s="4" t="s">
        <v>87</v>
      </c>
      <c r="D10" s="4" t="s">
        <v>88</v>
      </c>
      <c r="E10" s="4" t="s">
        <v>89</v>
      </c>
      <c r="F10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3" t="s">
        <v>2</v>
      </c>
      <c r="B4" s="3" t="s">
        <v>29</v>
      </c>
      <c r="C4" s="3" t="s">
        <v>92</v>
      </c>
      <c r="D4" s="3" t="s">
        <v>93</v>
      </c>
      <c r="E4" s="3" t="s">
        <v>94</v>
      </c>
      <c r="F4" s="3" t="s">
        <v>6</v>
      </c>
    </row>
    <row r="5" customFormat="false" ht="23.85" hidden="false" customHeight="false" outlineLevel="0" collapsed="false">
      <c r="A5" s="4" t="n">
        <v>1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</row>
    <row r="6" customFormat="false" ht="23.85" hidden="false" customHeight="false" outlineLevel="0" collapsed="false">
      <c r="A6" s="4" t="n">
        <v>2</v>
      </c>
      <c r="B6" s="4" t="s">
        <v>100</v>
      </c>
      <c r="C6" s="4" t="s">
        <v>101</v>
      </c>
      <c r="D6" s="4" t="s">
        <v>102</v>
      </c>
      <c r="E6" s="4" t="s">
        <v>98</v>
      </c>
      <c r="F6" s="4" t="s">
        <v>103</v>
      </c>
    </row>
    <row r="7" customFormat="false" ht="15" hidden="false" customHeight="false" outlineLevel="0" collapsed="false">
      <c r="A7" s="4" t="n">
        <v>3</v>
      </c>
      <c r="B7" s="4" t="s">
        <v>104</v>
      </c>
      <c r="C7" s="4" t="s">
        <v>105</v>
      </c>
      <c r="D7" s="4" t="s">
        <v>106</v>
      </c>
      <c r="E7" s="4" t="s">
        <v>98</v>
      </c>
      <c r="F7" s="4"/>
    </row>
    <row r="8" customFormat="false" ht="15" hidden="false" customHeight="false" outlineLevel="0" collapsed="false">
      <c r="A8" s="4" t="n">
        <v>4</v>
      </c>
      <c r="B8" s="4" t="s">
        <v>107</v>
      </c>
      <c r="C8" s="4" t="s">
        <v>108</v>
      </c>
      <c r="D8" s="4" t="s">
        <v>109</v>
      </c>
      <c r="E8" s="4" t="s">
        <v>98</v>
      </c>
      <c r="F8" s="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2026-10-01T06:22:08Z</dcterms:created>
  <dc:creator>openpyxl</dc:creator>
  <dc:description/>
  <dc:language>en-US</dc:language>
  <cp:lastModifiedBy/>
  <dcterms:modified xsi:type="dcterms:W3CDTF">2026-10-01T06:22:08Z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